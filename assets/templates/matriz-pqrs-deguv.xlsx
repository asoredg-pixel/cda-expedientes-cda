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CONSOLIDADO PQRSD" sheetId="1" r:id="rId1"/>
    <sheet name="SEGUIMIENTO" sheetId="2" r:id="rId2"/>
    <sheet name="FORMATOS" sheetId="3" r:id="rId3"/>
  </sheets>
  <definedNames>
    <definedName name="_xlnm._FilterDatabase" localSheetId="0" hidden="1">'CONSOLIDADO PQRSD'!$C$14:$S$28</definedName>
    <definedName name="_xlnm.Print_Area" localSheetId="0">'CONSOLIDADO PQRSD'!$A$1:$T$28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d/mm/yyyy;@"/>
    <numFmt numFmtId="165" formatCode="dd/mm/yyyy;@"/>
    <numFmt numFmtId="166" formatCode="dd&quot;/&quot;mm&quot;/&quot;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BE28"/>
  <sheetViews>
    <sheetView workbookViewId="0" rightToLeft="0"/>
  </sheetViews>
  <sheetData>
    <row r="2" xml:space="preserve">
      <c r="H2" t="str">
        <v>FORMATO: CONTROL PETICIONES, QUEJAS, RECLAMOS, SUGERENCIAS  Y DENUNCIAS  - PQRSD</v>
      </c>
      <c r="P2" t="str" xml:space="preserve">
        <v xml:space="preserve">_x000d_
_x000d_
CO18/8511</v>
      </c>
    </row>
    <row r="3">
      <c r="P3" t="str">
        <v>FECHA:  17 de Febrero de 2025</v>
      </c>
    </row>
    <row r="4">
      <c r="H4" t="str">
        <v xml:space="preserve">PROCEDIMIENTO:  PETICIONES, QUEJAS, RECLAMOS, SUGERENCIAS  Y DENUNCIAS PQRSD </v>
      </c>
      <c r="P4" t="str">
        <v>CÓDIGO: AGJ-CP-9-PR-02-FR-02</v>
      </c>
    </row>
    <row r="5">
      <c r="P5" t="str">
        <v>VERSIÓN: 5</v>
      </c>
    </row>
    <row r="7">
      <c r="C7" t="str">
        <v xml:space="preserve">UNIDAD DE GESTION: </v>
      </c>
      <c r="H7" t="str">
        <v>SECRETARIA GENERAL</v>
      </c>
    </row>
    <row r="9">
      <c r="K9" t="str">
        <v>ESTADO</v>
      </c>
      <c r="L9" t="str">
        <v>VENCE HOY</v>
      </c>
    </row>
    <row r="10">
      <c r="L10" t="str">
        <v xml:space="preserve">VENCIDO </v>
      </c>
    </row>
    <row r="11">
      <c r="C11" t="str">
        <v>FECHA CORTE</v>
      </c>
      <c r="H11">
        <v>46112</v>
      </c>
      <c r="L11" t="str">
        <v xml:space="preserve">CON TIEMPO </v>
      </c>
    </row>
    <row r="12">
      <c r="C12" t="str">
        <v>TRIMESTRE</v>
      </c>
      <c r="H12" t="str">
        <v>l</v>
      </c>
    </row>
    <row r="14" xml:space="preserve">
      <c r="C14" t="str">
        <v>ITEM</v>
      </c>
      <c r="D14" t="str">
        <v>RECIBO</v>
      </c>
      <c r="F14" t="str">
        <v>DEPARTAMENTO</v>
      </c>
      <c r="G14" t="str">
        <v>TIPO PETICION</v>
      </c>
      <c r="H14" t="str">
        <v>NOMBRE DEL PETICIONARIO</v>
      </c>
      <c r="I14" t="str">
        <v>ASUNTO</v>
      </c>
      <c r="J14" t="str">
        <v>TIEMPO DE RESPUESTA</v>
      </c>
      <c r="K14" t="str" xml:space="preserve">
        <v xml:space="preserve">RESPONSABLE_x000d_
DEPENDENCIA</v>
      </c>
      <c r="L14" t="str" xml:space="preserve">
        <v xml:space="preserve">FECHA_x000d_
 VENCIMIENTO _x000d_
DD/MM/AAAA</v>
      </c>
      <c r="M14" t="str">
        <v xml:space="preserve">ESTADO </v>
      </c>
      <c r="N14" t="str">
        <v xml:space="preserve">DIAS PARA VENCIMIENTO </v>
      </c>
      <c r="O14" t="str">
        <v>CONTESTACIÓN</v>
      </c>
      <c r="Q14" t="str">
        <v>DIAS DE RESPUESTA</v>
      </c>
      <c r="R14" t="str">
        <v>ESTADO FINAL</v>
      </c>
      <c r="S14" t="str">
        <v>OBSERVACIONES</v>
      </c>
    </row>
    <row r="15" xml:space="preserve">
      <c r="D15" t="str" xml:space="preserve">
        <v xml:space="preserve">FECHA_x000d_
MM/DD/AAAA</v>
      </c>
      <c r="E15" t="str">
        <v>RADICADO</v>
      </c>
      <c r="O15" t="str" xml:space="preserve">
        <v xml:space="preserve">FECHA_x000d_
MM/DD/AAAA</v>
      </c>
      <c r="P15" t="str">
        <v>RADICADO</v>
      </c>
    </row>
    <row r="22">
      <c r="C22" t="str">
        <v>Responsable: _____________________________________</v>
      </c>
      <c r="O22" t="str">
        <v>Diligenció / Elaboró:_______________________________________</v>
      </c>
    </row>
    <row r="23">
      <c r="C23" t="str">
        <v>Director Seccional Guaviare - Nestor Felipe Esponda Moreno</v>
      </c>
      <c r="P23" t="str">
        <v>Ana Marcela Chará Balanta</v>
      </c>
    </row>
    <row r="24">
      <c r="P24" t="str">
        <v xml:space="preserve">Profesional de Apoyo jurídico  </v>
      </c>
    </row>
    <row r="26">
      <c r="C26" t="str">
        <v>Revisó: ____________________________________________</v>
      </c>
    </row>
    <row r="27">
      <c r="D27" t="str">
        <v>Carlos Andrés Quintero Santo                                                                                  Profesional Especializado ONCA DSGV</v>
      </c>
    </row>
  </sheetData>
  <mergeCells count="33">
    <mergeCell ref="P23:Q23"/>
    <mergeCell ref="P24:Q24"/>
    <mergeCell ref="C26:G26"/>
    <mergeCell ref="D27:G27"/>
    <mergeCell ref="C28:T28"/>
    <mergeCell ref="C2:G5"/>
    <mergeCell ref="C7:G7"/>
    <mergeCell ref="C11:G11"/>
    <mergeCell ref="C12:G12"/>
    <mergeCell ref="F14:F15"/>
    <mergeCell ref="G14:G15"/>
    <mergeCell ref="C14:C15"/>
    <mergeCell ref="D14:E14"/>
    <mergeCell ref="H4:O5"/>
    <mergeCell ref="H2:O3"/>
    <mergeCell ref="P3:S3"/>
    <mergeCell ref="P4:S4"/>
    <mergeCell ref="P5:S5"/>
    <mergeCell ref="P2:S2"/>
    <mergeCell ref="H7:S7"/>
    <mergeCell ref="S14:S15"/>
    <mergeCell ref="H14:H15"/>
    <mergeCell ref="I14:I15"/>
    <mergeCell ref="K14:K15"/>
    <mergeCell ref="L14:L15"/>
    <mergeCell ref="J14:J15"/>
    <mergeCell ref="M14:M15"/>
    <mergeCell ref="K9:K11"/>
    <mergeCell ref="N14:N15"/>
    <mergeCell ref="O14:P14"/>
    <mergeCell ref="K12:L13"/>
    <mergeCell ref="R14:R15"/>
    <mergeCell ref="Q14:Q15"/>
  </mergeCells>
  <pageMargins left="0.2362204724409449" right="0.2362204724409449" top="0.7480314960629921" bottom="0.7480314960629921" header="0.31496062992125984" footer="0.31496062992125984"/>
  <ignoredErrors>
    <ignoredError numberStoredAsText="1" sqref="B2:B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2:J11"/>
  <sheetViews>
    <sheetView workbookViewId="0" rightToLeft="0"/>
  </sheetViews>
  <sheetData>
    <row r="2">
      <c r="B2" t="str">
        <v>TOTAL PQRDS RECIBIDAS</v>
      </c>
      <c r="C2" t="str">
        <v>RESUELTAS OPORTUNAMENTE</v>
      </c>
      <c r="D2" t="str">
        <v>RESUELTAS FUERA DE TERMINOS</v>
      </c>
      <c r="E2" t="str">
        <v xml:space="preserve"> SIN RESOLVER</v>
      </c>
      <c r="F2" t="str">
        <v>PROMEDIO  DÍAS DE RESPUESTA</v>
      </c>
    </row>
    <row r="4">
      <c r="B4">
        <f>COUNTA('CONSOLIDADO PQRSD'!#REF!)</f>
        <v>1</v>
      </c>
      <c r="C4">
        <f>COUNTA('CONSOLIDADO PQRSD'!#REF!,"CONFORME")</f>
        <v>2</v>
      </c>
      <c r="D4" t="e">
        <f>COUNTIF('CONSOLIDADO PQRSD'!#REF!,"NO CONFORME")</f>
        <v>#REF!</v>
      </c>
      <c r="E4">
        <f>COUNTA('CONSOLIDADO PQRSD'!#REF!)-COUNTA('CONSOLIDADO PQRSD'!#REF!)</f>
        <v>0</v>
      </c>
      <c r="F4" t="e">
        <f>'CONSOLIDADO PQRSD'!#REF!/(SEGUIMIENTO!D4+C4)</f>
        <v>#REF!</v>
      </c>
    </row>
    <row r="7">
      <c r="B7" t="str">
        <v>CUATRIMESTRE</v>
      </c>
      <c r="C7" t="str">
        <v>QUEJA</v>
      </c>
      <c r="D7" t="str">
        <v>RECLAMOS</v>
      </c>
      <c r="E7" t="str">
        <v>PETICIONES QUE IMPLIQUEN CONSULTAS</v>
      </c>
      <c r="F7" t="str">
        <v>SUGERENCIAS</v>
      </c>
      <c r="G7" t="str">
        <v>SOLICITUDES</v>
      </c>
      <c r="H7" t="str">
        <v>PETICIONES ENTRE ENTIDADES PUBLICAS</v>
      </c>
      <c r="I7" t="str">
        <v>PETICIONES ENTES DE CONTROL</v>
      </c>
      <c r="J7" t="str">
        <v xml:space="preserve">TOTAL </v>
      </c>
    </row>
    <row r="8">
      <c r="B8" t="str">
        <v>Guainía</v>
      </c>
      <c r="C8" t="e">
        <f>COUNTIFS('CONSOLIDADO PQRSD'!#REF!,FORMATOS!A18,'CONSOLIDADO PQRSD'!#REF!,FORMATOS!A2)</f>
        <v>#REF!</v>
      </c>
      <c r="D8" t="e">
        <f>COUNTIFS('CONSOLIDADO PQRSD'!#REF!,FORMATOS!A18,'CONSOLIDADO PQRSD'!#REF!,FORMATOS!A3)</f>
        <v>#REF!</v>
      </c>
      <c r="E8" t="e">
        <f>COUNTIFS('CONSOLIDADO PQRSD'!#REF!,FORMATOS!A18,'CONSOLIDADO PQRSD'!#REF!,FORMATOS!A4)</f>
        <v>#REF!</v>
      </c>
      <c r="F8" t="e">
        <f>COUNTIFS('CONSOLIDADO PQRSD'!#REF!,FORMATOS!A18,'CONSOLIDADO PQRSD'!#REF!,FORMATOS!A5)</f>
        <v>#REF!</v>
      </c>
      <c r="G8" t="e">
        <f>COUNTIFS('CONSOLIDADO PQRSD'!#REF!,FORMATOS!A18,'CONSOLIDADO PQRSD'!#REF!,FORMATOS!A6)</f>
        <v>#REF!</v>
      </c>
      <c r="H8" t="e">
        <f>COUNTIFS('CONSOLIDADO PQRSD'!#REF!,FORMATOS!A18,'CONSOLIDADO PQRSD'!#REF!,FORMATOS!A7)</f>
        <v>#REF!</v>
      </c>
      <c r="I8" t="e">
        <f>COUNTIFS('CONSOLIDADO PQRSD'!#REF!,FORMATOS!A18,'CONSOLIDADO PQRSD'!#REF!,FORMATOS!A8)</f>
        <v>#REF!</v>
      </c>
      <c r="J8" t="e">
        <f>SUM(C8:I8)</f>
        <v>#REF!</v>
      </c>
    </row>
    <row r="9">
      <c r="B9" t="str">
        <v>Guaviare</v>
      </c>
      <c r="C9" t="e">
        <f>COUNTIFS('CONSOLIDADO PQRSD'!#REF!,FORMATOS!A19,'CONSOLIDADO PQRSD'!#REF!,FORMATOS!A2)</f>
        <v>#REF!</v>
      </c>
      <c r="D9" t="e">
        <f>COUNTIFS('CONSOLIDADO PQRSD'!#REF!,FORMATOS!A19,'CONSOLIDADO PQRSD'!#REF!,FORMATOS!A3)</f>
        <v>#REF!</v>
      </c>
      <c r="E9" t="e">
        <f>COUNTIFS('CONSOLIDADO PQRSD'!#REF!,FORMATOS!A19,'CONSOLIDADO PQRSD'!#REF!,FORMATOS!A4)</f>
        <v>#REF!</v>
      </c>
      <c r="F9" t="e">
        <f>COUNTIFS('CONSOLIDADO PQRSD'!#REF!,FORMATOS!A19,'CONSOLIDADO PQRSD'!#REF!,FORMATOS!A5)</f>
        <v>#REF!</v>
      </c>
      <c r="G9" t="e">
        <f>COUNTIFS('CONSOLIDADO PQRSD'!#REF!,FORMATOS!A19,'CONSOLIDADO PQRSD'!#REF!,FORMATOS!A6)</f>
        <v>#REF!</v>
      </c>
      <c r="H9" t="e">
        <f>COUNTIFS('CONSOLIDADO PQRSD'!#REF!,FORMATOS!A19,'CONSOLIDADO PQRSD'!#REF!,FORMATOS!A7)</f>
        <v>#REF!</v>
      </c>
      <c r="I9" t="e">
        <f>COUNTIFS('CONSOLIDADO PQRSD'!#REF!,FORMATOS!A19,'CONSOLIDADO PQRSD'!#REF!,FORMATOS!A8)</f>
        <v>#REF!</v>
      </c>
      <c r="J9" t="e">
        <f>SUM(C9:I9)</f>
        <v>#REF!</v>
      </c>
    </row>
    <row r="10">
      <c r="B10" t="str">
        <v>Vaupés</v>
      </c>
      <c r="C10" t="e">
        <f>COUNTIFS('CONSOLIDADO PQRSD'!#REF!,FORMATOS!A20,'CONSOLIDADO PQRSD'!#REF!,FORMATOS!A2)</f>
        <v>#REF!</v>
      </c>
      <c r="D10" t="e">
        <f>COUNTIFS('CONSOLIDADO PQRSD'!#REF!,FORMATOS!A20,'CONSOLIDADO PQRSD'!#REF!,FORMATOS!A3)</f>
        <v>#REF!</v>
      </c>
      <c r="E10" t="e">
        <f>COUNTIFS('CONSOLIDADO PQRSD'!#REF!,FORMATOS!A20,'CONSOLIDADO PQRSD'!#REF!,FORMATOS!A4)</f>
        <v>#REF!</v>
      </c>
      <c r="F10" t="e">
        <f>COUNTIFS('CONSOLIDADO PQRSD'!#REF!,FORMATOS!A20,'CONSOLIDADO PQRSD'!#REF!,FORMATOS!A5)</f>
        <v>#REF!</v>
      </c>
      <c r="G10" t="e">
        <f>COUNTIFS('CONSOLIDADO PQRSD'!#REF!,FORMATOS!A20,'CONSOLIDADO PQRSD'!#REF!,FORMATOS!A6)</f>
        <v>#REF!</v>
      </c>
      <c r="H10" t="e">
        <f>COUNTIFS('CONSOLIDADO PQRSD'!#REF!,FORMATOS!A20,'CONSOLIDADO PQRSD'!#REF!,FORMATOS!A7)</f>
        <v>#REF!</v>
      </c>
      <c r="I10" t="e">
        <f>COUNTIFS('CONSOLIDADO PQRSD'!#REF!,FORMATOS!A20,'CONSOLIDADO PQRSD'!#REF!,FORMATOS!A8)</f>
        <v>#REF!</v>
      </c>
      <c r="J10" t="e">
        <f>SUM(C10:I10)</f>
        <v>#REF!</v>
      </c>
    </row>
    <row r="11">
      <c r="B11" t="str">
        <v>TOTAL PQRS</v>
      </c>
      <c r="C11" t="e">
        <f>SUM(C8:C10)</f>
        <v>#REF!</v>
      </c>
      <c r="D11" t="e">
        <f>SUM(D8:D10)</f>
        <v>#REF!</v>
      </c>
      <c r="E11" t="e">
        <f>SUM(E8:E10)</f>
        <v>#REF!</v>
      </c>
      <c r="F11" t="e">
        <f>SUM(F8:F10)</f>
        <v>#REF!</v>
      </c>
      <c r="G11" t="e">
        <f>SUM(G8:G10)</f>
        <v>#REF!</v>
      </c>
      <c r="H11" t="e">
        <f>SUM(H8:H10)</f>
        <v>#REF!</v>
      </c>
      <c r="I11" t="e">
        <f>SUM(I8:I10)</f>
        <v>#REF!</v>
      </c>
      <c r="J11" t="e">
        <f>SUM(J8:J10)</f>
        <v>#REF!</v>
      </c>
    </row>
  </sheetData>
  <mergeCells count="6">
    <mergeCell ref="B2:B3"/>
    <mergeCell ref="C2:C3"/>
    <mergeCell ref="E2:E3"/>
    <mergeCell ref="F2:F3"/>
    <mergeCell ref="G2:G3"/>
    <mergeCell ref="D2:D3"/>
  </mergeCells>
  <pageMargins left="0.7" right="0.7" top="0.75" bottom="0.75" header="0.3" footer="0.3"/>
  <ignoredErrors>
    <ignoredError numberStoredAsText="1" sqref="B2:J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0"/>
  <sheetViews>
    <sheetView workbookViewId="0" rightToLeft="0"/>
  </sheetViews>
  <sheetData>
    <row r="1">
      <c r="A1" t="str">
        <v>TIPO PETICION</v>
      </c>
      <c r="B1" t="str">
        <v>TIEMPO</v>
      </c>
      <c r="D1" t="str">
        <v>DEPENDENCIAS</v>
      </c>
    </row>
    <row r="2">
      <c r="A2" t="str">
        <v>QUEJA</v>
      </c>
      <c r="B2">
        <v>15</v>
      </c>
      <c r="D2" t="str">
        <v>NCA-DSV</v>
      </c>
    </row>
    <row r="3">
      <c r="A3" t="str">
        <v>RECLAMOS</v>
      </c>
      <c r="B3">
        <v>15</v>
      </c>
      <c r="D3" t="str">
        <v>RN-DSV</v>
      </c>
    </row>
    <row r="4">
      <c r="A4" t="str">
        <v>PETICIONES QUE IMPLIQUEN CONSULTAS</v>
      </c>
      <c r="B4">
        <v>30</v>
      </c>
      <c r="D4" t="str">
        <v>DSV</v>
      </c>
    </row>
    <row r="5">
      <c r="A5" t="str">
        <v>SUGERENCIAS</v>
      </c>
      <c r="B5">
        <v>30</v>
      </c>
      <c r="D5" t="str">
        <v>OP-DSGV</v>
      </c>
    </row>
    <row r="6">
      <c r="A6" t="str">
        <v>SOLICITUDES</v>
      </c>
      <c r="B6">
        <v>15</v>
      </c>
      <c r="D6" t="str">
        <v>NCA-DSGV</v>
      </c>
    </row>
    <row r="7">
      <c r="A7" t="str">
        <v>PETICIONES ENTRE ENTIDADES PUBLICAS</v>
      </c>
      <c r="B7">
        <v>10</v>
      </c>
      <c r="D7" t="str">
        <v>RN-DSGV</v>
      </c>
    </row>
    <row r="8">
      <c r="A8" t="str">
        <v>PETICIONES ENTES DE CONTROL</v>
      </c>
      <c r="B8">
        <v>5</v>
      </c>
      <c r="D8" t="str">
        <v>DSGV</v>
      </c>
    </row>
    <row r="9">
      <c r="A9" t="str">
        <v>OTRO</v>
      </c>
      <c r="D9" t="str">
        <v>SNCA</v>
      </c>
    </row>
    <row r="10">
      <c r="D10" t="str">
        <v>SARN</v>
      </c>
    </row>
    <row r="11">
      <c r="A11" t="str">
        <v xml:space="preserve">PERIODO </v>
      </c>
      <c r="D11" t="str">
        <v>SG</v>
      </c>
    </row>
    <row r="12">
      <c r="A12" s="1">
        <v>46112</v>
      </c>
      <c r="B12" t="str">
        <v>l</v>
      </c>
      <c r="D12" t="str">
        <v>DG</v>
      </c>
    </row>
    <row r="13">
      <c r="A13" s="1">
        <v>46203</v>
      </c>
      <c r="B13" t="str">
        <v>ll</v>
      </c>
      <c r="D13" t="str">
        <v>OAP</v>
      </c>
    </row>
    <row r="14">
      <c r="A14" s="1">
        <v>46295</v>
      </c>
      <c r="B14" t="str">
        <v>lll</v>
      </c>
      <c r="D14" t="str">
        <v>OACI</v>
      </c>
    </row>
    <row r="15">
      <c r="A15" s="1">
        <v>46387</v>
      </c>
      <c r="B15" t="str">
        <v>lV</v>
      </c>
      <c r="D15" t="str">
        <v>SAF</v>
      </c>
    </row>
    <row r="16">
      <c r="D16" t="str">
        <v>DSG</v>
      </c>
    </row>
    <row r="17">
      <c r="A17" t="str">
        <v>DEPARTAMENTOS</v>
      </c>
    </row>
    <row r="18">
      <c r="A18" t="str">
        <v>GUAINÍA</v>
      </c>
    </row>
    <row r="19">
      <c r="A19" t="str">
        <v>GUAVIARE</v>
      </c>
    </row>
    <row r="20">
      <c r="A20" t="str">
        <v>VAUPÉS</v>
      </c>
    </row>
  </sheetData>
  <pageMargins left="0.7" right="0.7" top="0.75" bottom="0.75" header="0.3" footer="0.3"/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CONSOLIDADO PQRSD</vt:lpstr>
      <vt:lpstr>SEGUIMIENTO</vt:lpstr>
      <vt:lpstr>FORMATOS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2011-01-13T20:48:00Z</dcterms:created>
  <dcterms:modified xsi:type="dcterms:W3CDTF">2026-06-04T15:14:09Z</dcterms:modified>
  <cp:lastModifiedBy>Carlos Quintero Santos</cp:lastModifiedBy>
  <cp:lastPrinted>2026-04-09T16:24:59Z</cp:lastPrinted>
  <dc:creator>ARCHIVO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93DE829E5898481882FCD774AD456A5A</vt:lpwstr>
  </property>
  <property fmtid="{D5CDD505-2E9C-101B-9397-08002B2CF9AE}" pid="3" name="KSOProductBuildVer">
    <vt:lpwstr>3082-11.2.0.11537</vt:lpwstr>
  </property>
</Properties>
</file>